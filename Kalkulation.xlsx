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01_Projektablage\99_Kleinaufträge\13_HuberGSE\"/>
    </mc:Choice>
  </mc:AlternateContent>
  <xr:revisionPtr revIDLastSave="0" documentId="13_ncr:1_{BEA324FF-8C2B-48F9-AE51-64FA1E445D3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abelle1" sheetId="1" r:id="rId1"/>
    <sheet name="Tabelle2" sheetId="2" r:id="rId2"/>
    <sheet name="Materi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3" l="1"/>
  <c r="E26" i="3"/>
  <c r="B10" i="2"/>
  <c r="E6" i="3"/>
  <c r="E7" i="3"/>
  <c r="E2" i="3"/>
  <c r="D18" i="1"/>
  <c r="D15" i="1"/>
  <c r="D14" i="1"/>
  <c r="D13" i="1"/>
  <c r="D12" i="1"/>
  <c r="C10" i="1"/>
  <c r="E27" i="3" l="1"/>
  <c r="E30" i="3" s="1"/>
  <c r="D16" i="1"/>
</calcChain>
</file>

<file path=xl/sharedStrings.xml><?xml version="1.0" encoding="utf-8"?>
<sst xmlns="http://schemas.openxmlformats.org/spreadsheetml/2006/main" count="43" uniqueCount="37">
  <si>
    <t>Netzteil</t>
  </si>
  <si>
    <t>CPU</t>
  </si>
  <si>
    <t>Leitungen</t>
  </si>
  <si>
    <t>Display</t>
  </si>
  <si>
    <t>Umrichter</t>
  </si>
  <si>
    <t>Motor</t>
  </si>
  <si>
    <t>Schaltschrank</t>
  </si>
  <si>
    <t>Kleinteile</t>
  </si>
  <si>
    <t>Verdrahten</t>
  </si>
  <si>
    <t>Projektierung</t>
  </si>
  <si>
    <t>Software</t>
  </si>
  <si>
    <t>IB</t>
  </si>
  <si>
    <t>Materialvorbereitung</t>
  </si>
  <si>
    <t>Verdrahtung</t>
  </si>
  <si>
    <t>Inbetriebnahme</t>
  </si>
  <si>
    <t>Optimierung und IB mit neuer Steuerung</t>
  </si>
  <si>
    <t>Optimierung und Verdrahtungsarbeiten</t>
  </si>
  <si>
    <t>CU320</t>
  </si>
  <si>
    <t>CF Card</t>
  </si>
  <si>
    <t>CF Card CPU</t>
  </si>
  <si>
    <t>Drossel</t>
  </si>
  <si>
    <t>SmartLine Modul</t>
  </si>
  <si>
    <t>Motor Modul</t>
  </si>
  <si>
    <t>Motorschutzschalter</t>
  </si>
  <si>
    <t>Sicherungsautomat</t>
  </si>
  <si>
    <t>Hutschiene</t>
  </si>
  <si>
    <t>Kabelkanal</t>
  </si>
  <si>
    <t>Klemmen</t>
  </si>
  <si>
    <t>Draht</t>
  </si>
  <si>
    <t>Leistungsleitung</t>
  </si>
  <si>
    <t>Geberleitung</t>
  </si>
  <si>
    <t>ET200 IM151</t>
  </si>
  <si>
    <t>Sockelmodule</t>
  </si>
  <si>
    <t>8DI</t>
  </si>
  <si>
    <t>8DO</t>
  </si>
  <si>
    <t>PME</t>
  </si>
  <si>
    <t>DI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</si>
</sst>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0" applyNumberForma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8"/>
  <sheetViews>
    <sheetView workbookViewId="0">
      <selection activeCell="D13" sqref="D13"/>
    </sheetView>
  </sheetViews>
  <sheetFormatPr baseColWidth="10" defaultColWidth="9.140625" defaultRowHeight="15" x14ac:dyDescent="0.25"/>
  <sheetData>
    <row r="2" spans="1:4" x14ac:dyDescent="0.25">
      <c r="A2">
        <v>1</v>
      </c>
      <c r="B2" t="s">
        <v>0</v>
      </c>
      <c r="C2">
        <v>150</v>
      </c>
    </row>
    <row r="3" spans="1:4" x14ac:dyDescent="0.25">
      <c r="A3">
        <v>1</v>
      </c>
      <c r="B3" t="s">
        <v>1</v>
      </c>
      <c r="C3">
        <v>1000</v>
      </c>
    </row>
    <row r="4" spans="1:4" x14ac:dyDescent="0.25">
      <c r="A4">
        <v>1</v>
      </c>
      <c r="B4" t="s">
        <v>4</v>
      </c>
      <c r="C4">
        <v>1500</v>
      </c>
    </row>
    <row r="5" spans="1:4" x14ac:dyDescent="0.25">
      <c r="A5">
        <v>1</v>
      </c>
      <c r="B5" t="s">
        <v>2</v>
      </c>
      <c r="C5">
        <v>200</v>
      </c>
    </row>
    <row r="6" spans="1:4" x14ac:dyDescent="0.25">
      <c r="A6">
        <v>1</v>
      </c>
      <c r="B6" t="s">
        <v>3</v>
      </c>
      <c r="C6">
        <v>600</v>
      </c>
    </row>
    <row r="7" spans="1:4" x14ac:dyDescent="0.25">
      <c r="A7">
        <v>1</v>
      </c>
      <c r="B7" t="s">
        <v>5</v>
      </c>
      <c r="C7">
        <v>900</v>
      </c>
    </row>
    <row r="8" spans="1:4" x14ac:dyDescent="0.25">
      <c r="A8">
        <v>1</v>
      </c>
      <c r="B8" t="s">
        <v>6</v>
      </c>
      <c r="C8">
        <v>120</v>
      </c>
    </row>
    <row r="9" spans="1:4" x14ac:dyDescent="0.25">
      <c r="A9">
        <v>1</v>
      </c>
      <c r="B9" t="s">
        <v>7</v>
      </c>
      <c r="C9">
        <v>200</v>
      </c>
    </row>
    <row r="10" spans="1:4" x14ac:dyDescent="0.25">
      <c r="C10">
        <f>SUM(C2:C9)</f>
        <v>4670</v>
      </c>
    </row>
    <row r="12" spans="1:4" x14ac:dyDescent="0.25">
      <c r="A12">
        <v>24</v>
      </c>
      <c r="B12" t="s">
        <v>8</v>
      </c>
      <c r="C12">
        <v>50</v>
      </c>
      <c r="D12">
        <f>C12*A12</f>
        <v>1200</v>
      </c>
    </row>
    <row r="13" spans="1:4" x14ac:dyDescent="0.25">
      <c r="A13">
        <v>8</v>
      </c>
      <c r="B13" t="s">
        <v>9</v>
      </c>
      <c r="C13">
        <v>100</v>
      </c>
      <c r="D13">
        <f t="shared" ref="D13:D15" si="0">C13*A13</f>
        <v>800</v>
      </c>
    </row>
    <row r="14" spans="1:4" x14ac:dyDescent="0.25">
      <c r="A14">
        <v>40</v>
      </c>
      <c r="B14" t="s">
        <v>10</v>
      </c>
      <c r="C14">
        <v>100</v>
      </c>
      <c r="D14">
        <f t="shared" si="0"/>
        <v>4000</v>
      </c>
    </row>
    <row r="15" spans="1:4" x14ac:dyDescent="0.25">
      <c r="A15">
        <v>24</v>
      </c>
      <c r="B15" t="s">
        <v>11</v>
      </c>
      <c r="C15">
        <v>100</v>
      </c>
      <c r="D15">
        <f t="shared" si="0"/>
        <v>2400</v>
      </c>
    </row>
    <row r="16" spans="1:4" x14ac:dyDescent="0.25">
      <c r="D16">
        <f>SUM(D12:D15)</f>
        <v>8400</v>
      </c>
    </row>
    <row r="18" spans="4:4" x14ac:dyDescent="0.25">
      <c r="D18">
        <f>D16+C10</f>
        <v>13070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6D35-0050-45C9-BF92-4F0A264E942D}">
  <dimension ref="A2:C10"/>
  <sheetViews>
    <sheetView workbookViewId="0">
      <selection activeCell="B11" sqref="B11"/>
    </sheetView>
  </sheetViews>
  <sheetFormatPr baseColWidth="10" defaultRowHeight="15" x14ac:dyDescent="0.25"/>
  <sheetData>
    <row r="2" spans="1:3" x14ac:dyDescent="0.25">
      <c r="B2">
        <v>4</v>
      </c>
      <c r="C2" t="s">
        <v>9</v>
      </c>
    </row>
    <row r="3" spans="1:3" x14ac:dyDescent="0.25">
      <c r="A3" s="1">
        <v>45135</v>
      </c>
      <c r="B3">
        <v>2</v>
      </c>
      <c r="C3" t="s">
        <v>12</v>
      </c>
    </row>
    <row r="4" spans="1:3" x14ac:dyDescent="0.25">
      <c r="A4" s="1">
        <v>45136</v>
      </c>
      <c r="B4">
        <v>8</v>
      </c>
      <c r="C4" t="s">
        <v>13</v>
      </c>
    </row>
    <row r="5" spans="1:3" x14ac:dyDescent="0.25">
      <c r="A5" s="1">
        <v>45137</v>
      </c>
      <c r="B5">
        <v>8</v>
      </c>
      <c r="C5" t="s">
        <v>10</v>
      </c>
    </row>
    <row r="6" spans="1:3" x14ac:dyDescent="0.25">
      <c r="A6" s="1">
        <v>45138</v>
      </c>
      <c r="B6">
        <v>6</v>
      </c>
      <c r="C6" t="s">
        <v>14</v>
      </c>
    </row>
    <row r="7" spans="1:3" x14ac:dyDescent="0.25">
      <c r="A7" s="1">
        <v>45139</v>
      </c>
      <c r="B7">
        <v>4</v>
      </c>
      <c r="C7" t="s">
        <v>14</v>
      </c>
    </row>
    <row r="8" spans="1:3" x14ac:dyDescent="0.25">
      <c r="A8" s="1">
        <v>45140</v>
      </c>
      <c r="B8">
        <v>8</v>
      </c>
      <c r="C8" t="s">
        <v>15</v>
      </c>
    </row>
    <row r="9" spans="1:3" x14ac:dyDescent="0.25">
      <c r="A9" s="1">
        <v>45142</v>
      </c>
      <c r="B9">
        <v>12</v>
      </c>
      <c r="C9" t="s">
        <v>16</v>
      </c>
    </row>
    <row r="10" spans="1:3" x14ac:dyDescent="0.25">
      <c r="B10">
        <f>SUM(B2:B9)</f>
        <v>52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977C-417A-4325-8D97-C757F7BECB0C}">
  <dimension ref="A2:F30"/>
  <sheetViews>
    <sheetView tabSelected="1" workbookViewId="0">
      <selection activeCell="J32" sqref="J32"/>
    </sheetView>
  </sheetViews>
  <sheetFormatPr baseColWidth="10" defaultRowHeight="15" x14ac:dyDescent="0.25"/>
  <sheetData>
    <row r="2" spans="1:5" x14ac:dyDescent="0.25">
      <c r="A2">
        <v>1</v>
      </c>
      <c r="B2" t="s">
        <v>17</v>
      </c>
      <c r="D2">
        <v>999</v>
      </c>
      <c r="E2" s="2">
        <f>D2/1.19</f>
        <v>839.49579831932772</v>
      </c>
    </row>
    <row r="3" spans="1:5" x14ac:dyDescent="0.25">
      <c r="A3">
        <v>1</v>
      </c>
      <c r="B3" t="s">
        <v>18</v>
      </c>
      <c r="E3" s="2">
        <v>95.25</v>
      </c>
    </row>
    <row r="4" spans="1:5" x14ac:dyDescent="0.25">
      <c r="A4">
        <v>1</v>
      </c>
      <c r="B4" t="s">
        <v>1</v>
      </c>
      <c r="E4" s="2">
        <v>1000</v>
      </c>
    </row>
    <row r="5" spans="1:5" x14ac:dyDescent="0.25">
      <c r="A5">
        <v>1</v>
      </c>
      <c r="B5" t="s">
        <v>19</v>
      </c>
      <c r="E5" s="2">
        <v>160</v>
      </c>
    </row>
    <row r="6" spans="1:5" x14ac:dyDescent="0.25">
      <c r="A6">
        <v>1</v>
      </c>
      <c r="B6" t="s">
        <v>20</v>
      </c>
      <c r="D6">
        <v>197.5</v>
      </c>
      <c r="E6" s="2">
        <f>D6/1.19</f>
        <v>165.96638655462186</v>
      </c>
    </row>
    <row r="7" spans="1:5" x14ac:dyDescent="0.25">
      <c r="A7">
        <v>1</v>
      </c>
      <c r="B7" t="s">
        <v>21</v>
      </c>
      <c r="D7">
        <v>794</v>
      </c>
      <c r="E7" s="2">
        <f>D7-(D7*0.29)</f>
        <v>563.74</v>
      </c>
    </row>
    <row r="8" spans="1:5" x14ac:dyDescent="0.25">
      <c r="A8">
        <v>1</v>
      </c>
      <c r="B8" t="s">
        <v>22</v>
      </c>
      <c r="E8" s="2">
        <v>1189.05</v>
      </c>
    </row>
    <row r="9" spans="1:5" x14ac:dyDescent="0.25">
      <c r="A9">
        <v>1</v>
      </c>
      <c r="B9" t="s">
        <v>5</v>
      </c>
      <c r="E9" s="2">
        <v>842.49</v>
      </c>
    </row>
    <row r="10" spans="1:5" x14ac:dyDescent="0.25">
      <c r="A10">
        <v>1</v>
      </c>
      <c r="B10" t="s">
        <v>3</v>
      </c>
      <c r="E10" s="2">
        <v>608.73</v>
      </c>
    </row>
    <row r="11" spans="1:5" x14ac:dyDescent="0.25">
      <c r="A11">
        <v>1</v>
      </c>
      <c r="B11" t="s">
        <v>23</v>
      </c>
      <c r="E11" s="2">
        <v>50</v>
      </c>
    </row>
    <row r="12" spans="1:5" x14ac:dyDescent="0.25">
      <c r="A12">
        <v>1</v>
      </c>
      <c r="B12" t="s">
        <v>24</v>
      </c>
      <c r="E12" s="2">
        <v>5</v>
      </c>
    </row>
    <row r="13" spans="1:5" x14ac:dyDescent="0.25">
      <c r="A13">
        <v>1</v>
      </c>
      <c r="B13" t="s">
        <v>25</v>
      </c>
      <c r="E13" s="2">
        <v>5</v>
      </c>
    </row>
    <row r="14" spans="1:5" x14ac:dyDescent="0.25">
      <c r="A14">
        <v>1</v>
      </c>
      <c r="B14" t="s">
        <v>26</v>
      </c>
      <c r="E14" s="2">
        <v>5</v>
      </c>
    </row>
    <row r="15" spans="1:5" x14ac:dyDescent="0.25">
      <c r="A15">
        <v>1</v>
      </c>
      <c r="B15" t="s">
        <v>27</v>
      </c>
      <c r="E15" s="2">
        <v>20</v>
      </c>
    </row>
    <row r="16" spans="1:5" x14ac:dyDescent="0.25">
      <c r="A16">
        <v>1</v>
      </c>
      <c r="B16" t="s">
        <v>28</v>
      </c>
      <c r="E16" s="2">
        <v>20</v>
      </c>
    </row>
    <row r="17" spans="1:6" x14ac:dyDescent="0.25">
      <c r="A17">
        <v>1</v>
      </c>
      <c r="B17" t="s">
        <v>29</v>
      </c>
      <c r="E17" s="2">
        <v>138.58000000000001</v>
      </c>
    </row>
    <row r="18" spans="1:6" x14ac:dyDescent="0.25">
      <c r="A18">
        <v>1</v>
      </c>
      <c r="B18" t="s">
        <v>30</v>
      </c>
      <c r="E18" s="2">
        <v>117.51</v>
      </c>
    </row>
    <row r="19" spans="1:6" x14ac:dyDescent="0.25">
      <c r="A19">
        <v>1</v>
      </c>
      <c r="B19" t="s">
        <v>31</v>
      </c>
      <c r="E19" s="2">
        <v>0</v>
      </c>
      <c r="F19" s="2">
        <v>380</v>
      </c>
    </row>
    <row r="20" spans="1:6" x14ac:dyDescent="0.25">
      <c r="A20">
        <v>3</v>
      </c>
      <c r="B20" t="s">
        <v>32</v>
      </c>
      <c r="E20" s="2">
        <v>0</v>
      </c>
      <c r="F20" s="2">
        <v>51.1</v>
      </c>
    </row>
    <row r="21" spans="1:6" x14ac:dyDescent="0.25">
      <c r="A21">
        <v>1</v>
      </c>
      <c r="B21" t="s">
        <v>35</v>
      </c>
      <c r="E21" s="2">
        <v>0</v>
      </c>
      <c r="F21" s="2">
        <v>17.899999999999999</v>
      </c>
    </row>
    <row r="22" spans="1:6" x14ac:dyDescent="0.25">
      <c r="A22">
        <v>1</v>
      </c>
      <c r="B22" t="s">
        <v>33</v>
      </c>
      <c r="E22" s="2">
        <v>0</v>
      </c>
      <c r="F22" s="2">
        <v>58.2</v>
      </c>
    </row>
    <row r="23" spans="1:6" x14ac:dyDescent="0.25">
      <c r="A23">
        <v>1</v>
      </c>
      <c r="B23" t="s">
        <v>34</v>
      </c>
      <c r="E23" s="2">
        <v>0</v>
      </c>
      <c r="F23" s="2">
        <v>67.25</v>
      </c>
    </row>
    <row r="24" spans="1:6" x14ac:dyDescent="0.25">
      <c r="A24">
        <v>1</v>
      </c>
      <c r="B24" t="s">
        <v>36</v>
      </c>
      <c r="E24" s="2">
        <v>350</v>
      </c>
    </row>
    <row r="25" spans="1:6" x14ac:dyDescent="0.25">
      <c r="E25" s="2"/>
    </row>
    <row r="26" spans="1:6" x14ac:dyDescent="0.25">
      <c r="E26" s="3">
        <f>SUM(E2:E24)</f>
        <v>6175.8121848739502</v>
      </c>
    </row>
    <row r="27" spans="1:6" x14ac:dyDescent="0.25">
      <c r="E27" s="3">
        <f>E26*1.2</f>
        <v>7410.9746218487398</v>
      </c>
    </row>
    <row r="29" spans="1:6" x14ac:dyDescent="0.25">
      <c r="E29">
        <f>60*100</f>
        <v>6000</v>
      </c>
    </row>
    <row r="30" spans="1:6" x14ac:dyDescent="0.25">
      <c r="E30">
        <f>E27+E29</f>
        <v>13410.97462184874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 Temiz</dc:creator>
  <cp:lastModifiedBy>Engin Temiz</cp:lastModifiedBy>
  <dcterms:created xsi:type="dcterms:W3CDTF">2015-06-05T18:19:34Z</dcterms:created>
  <dcterms:modified xsi:type="dcterms:W3CDTF">2023-08-06T21:38:43Z</dcterms:modified>
</cp:coreProperties>
</file>